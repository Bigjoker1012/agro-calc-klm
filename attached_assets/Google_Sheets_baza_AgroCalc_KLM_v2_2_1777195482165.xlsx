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yzzy\OneDrive\Рабочий стол\AgroCalc КЛМ\"/>
    </mc:Choice>
  </mc:AlternateContent>
  <bookViews>
    <workbookView xWindow="-110" yWindow="-110" windowWidth="23260" windowHeight="12580" activeTab="2"/>
  </bookViews>
  <sheets>
    <sheet name="Продукты" sheetId="1" r:id="rId1"/>
    <sheet name="Культуры_и_сырье" sheetId="2" r:id="rId2"/>
    <sheet name="Правила_дозирования" sheetId="3" r:id="rId3"/>
    <sheet name="Пакеты_EGALIS" sheetId="4" r:id="rId4"/>
    <sheet name="История_шаблон" sheetId="5" r:id="rId5"/>
    <sheet name="Цен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6" l="1"/>
  <c r="F3" i="6"/>
  <c r="E2" i="6"/>
</calcChain>
</file>

<file path=xl/sharedStrings.xml><?xml version="1.0" encoding="utf-8"?>
<sst xmlns="http://schemas.openxmlformats.org/spreadsheetml/2006/main" count="332" uniqueCount="166">
  <si>
    <t>ID продукта</t>
  </si>
  <si>
    <t>Код продукта</t>
  </si>
  <si>
    <t>Наименование продукта</t>
  </si>
  <si>
    <t>Тип продукта</t>
  </si>
  <si>
    <t>Форма</t>
  </si>
  <si>
    <t>Основная единица</t>
  </si>
  <si>
    <t>Производитель</t>
  </si>
  <si>
    <t>Ключевые действующие вещества / штаммы</t>
  </si>
  <si>
    <t>Назначение</t>
  </si>
  <si>
    <t>Хранение от, °C</t>
  </si>
  <si>
    <t>Хранение до, °C</t>
  </si>
  <si>
    <t>Влажность хранения до, %</t>
  </si>
  <si>
    <t>Срок годности, мес.</t>
  </si>
  <si>
    <t>Базовый комментарий</t>
  </si>
  <si>
    <t>Плотность, кг/л</t>
  </si>
  <si>
    <t>SILKORM_PRO</t>
  </si>
  <si>
    <t>СилКорм Про</t>
  </si>
  <si>
    <t>Химический консервант</t>
  </si>
  <si>
    <t>Жидкость</t>
  </si>
  <si>
    <t>л</t>
  </si>
  <si>
    <t>ООО «Кормовит»</t>
  </si>
  <si>
    <t>Муравьиная кислота 45,0–53,0 %; формиат натрия 11,0–19,0 %; пропионовая кислота 8,0–15,0 %</t>
  </si>
  <si>
    <t>Для заготовки силоса, сенажа и консервации плющеного зерна</t>
  </si>
  <si>
    <t>pH 4,2–4,5; подавляет Salmonella, E. coli и др.</t>
  </si>
  <si>
    <t>EGALIS_FERMENT</t>
  </si>
  <si>
    <t>EGALIS Ferment</t>
  </si>
  <si>
    <t>Биологический консервант</t>
  </si>
  <si>
    <t>Порошок</t>
  </si>
  <si>
    <t>г</t>
  </si>
  <si>
    <t>Alltech</t>
  </si>
  <si>
    <t>Lactiplantibacillus plantarum IMI507026; Pediococcus pentosaceus IMI507024</t>
  </si>
  <si>
    <t>Силосный инокулянт для forage crops</t>
  </si>
  <si>
    <t>Базовая норма 2 г/т; варианты пакета 50 г и 200 г</t>
  </si>
  <si>
    <t>ID культуры</t>
  </si>
  <si>
    <t>Код культуры</t>
  </si>
  <si>
    <t>Наименование культуры / сырья</t>
  </si>
  <si>
    <t>Группа</t>
  </si>
  <si>
    <t>Нужна влажность</t>
  </si>
  <si>
    <t>Влажность от, %</t>
  </si>
  <si>
    <t>Влажность до, %</t>
  </si>
  <si>
    <t>Комментарий</t>
  </si>
  <si>
    <t>CEREAL_GRASS</t>
  </si>
  <si>
    <t>Злаковые травы</t>
  </si>
  <si>
    <t>Травяной силос/сенаж</t>
  </si>
  <si>
    <t>LEGUME_ANNUAL</t>
  </si>
  <si>
    <t>Бобовые / однолетние травы</t>
  </si>
  <si>
    <t>CORN_SILAGE</t>
  </si>
  <si>
    <t>Кукуруза (силос)</t>
  </si>
  <si>
    <t>Кукурузный силос</t>
  </si>
  <si>
    <t>ROLLED_GRAIN_35_45</t>
  </si>
  <si>
    <t>Плющеное зерно</t>
  </si>
  <si>
    <t>Зерно</t>
  </si>
  <si>
    <t>Диапазон влажности 35–45 %</t>
  </si>
  <si>
    <t>ROLLED_GRAIN_30_35</t>
  </si>
  <si>
    <t>Диапазон влажности 30–35 %</t>
  </si>
  <si>
    <t>ROLLED_GRAIN_25_30</t>
  </si>
  <si>
    <t>Диапазон влажности 25–30 %</t>
  </si>
  <si>
    <t>GRASS_CLOVER</t>
  </si>
  <si>
    <t>Злаково-клеверная смесь</t>
  </si>
  <si>
    <t>Для EGALIS Ferment</t>
  </si>
  <si>
    <t>LUCERNE</t>
  </si>
  <si>
    <t>Люцерна</t>
  </si>
  <si>
    <t>Бобовый сенаж/силос</t>
  </si>
  <si>
    <t>LEGUMES</t>
  </si>
  <si>
    <t>Бобовые культуры</t>
  </si>
  <si>
    <t>SORGHUM</t>
  </si>
  <si>
    <t>Сорго</t>
  </si>
  <si>
    <t>Силос</t>
  </si>
  <si>
    <t>WHOLECROP</t>
  </si>
  <si>
    <t>Цельные растения / wholecrop</t>
  </si>
  <si>
    <t>MIXED_FORAGE</t>
  </si>
  <si>
    <t>Смешанная масса</t>
  </si>
  <si>
    <t>Универсально</t>
  </si>
  <si>
    <t>SILAGE_HAYLAGE</t>
  </si>
  <si>
    <t>Силос / сенаж</t>
  </si>
  <si>
    <t>Шаблонная группа для EGALIS</t>
  </si>
  <si>
    <t>MOIST_GRAIN</t>
  </si>
  <si>
    <t>Влажное зерно</t>
  </si>
  <si>
    <t>ID правила</t>
  </si>
  <si>
    <t>Способ внесения</t>
  </si>
  <si>
    <t>Дозировка от</t>
  </si>
  <si>
    <t>Дозировка до</t>
  </si>
  <si>
    <t>Единица дозировки</t>
  </si>
  <si>
    <t>Код пакета</t>
  </si>
  <si>
    <t>Масса пакета, г</t>
  </si>
  <si>
    <t>Тонн на пакет</t>
  </si>
  <si>
    <t>Вода на пакет от, л</t>
  </si>
  <si>
    <t>Вода на пакет до, л</t>
  </si>
  <si>
    <t>Рабочий раствор от, л/т</t>
  </si>
  <si>
    <t>Рабочий раствор до, л/т</t>
  </si>
  <si>
    <t>Режим по слоям</t>
  </si>
  <si>
    <t>Приоритет авто-подбора</t>
  </si>
  <si>
    <t>Рекомендация</t>
  </si>
  <si>
    <t>Активно</t>
  </si>
  <si>
    <t>через комбайн/опрыскиватель/ручное</t>
  </si>
  <si>
    <t>л/т</t>
  </si>
  <si>
    <t>75/100/125</t>
  </si>
  <si>
    <t>Базовая норма для злаковых трав</t>
  </si>
  <si>
    <t>Базовая норма для бобовых и однолетних трав</t>
  </si>
  <si>
    <t>Базовая норма для кукурузы</t>
  </si>
  <si>
    <t>через комбайн/опрыскиватель</t>
  </si>
  <si>
    <t>Плющеное зерно 35–45 %</t>
  </si>
  <si>
    <t>Плющеное зерно 30–35 %</t>
  </si>
  <si>
    <t>Плющеное зерно 25–30 %</t>
  </si>
  <si>
    <t>опрыскиватель</t>
  </si>
  <si>
    <t>г/т</t>
  </si>
  <si>
    <t>EGALIS_50G</t>
  </si>
  <si>
    <t>Злаковые травы; базовая норма 2 г/т</t>
  </si>
  <si>
    <t>Злаково-клеверная смесь; базовая норма 2 г/т</t>
  </si>
  <si>
    <t>Люцерна; базовая норма 2 г/т</t>
  </si>
  <si>
    <t>Бобовые культуры; базовая норма 2 г/т</t>
  </si>
  <si>
    <t>EGALIS_200G</t>
  </si>
  <si>
    <t>Кукуруза; базовая норма 2 г/т</t>
  </si>
  <si>
    <t>Сорго; базовая норма 2 г/т</t>
  </si>
  <si>
    <t>Wholecrop; базовая норма 2 г/т</t>
  </si>
  <si>
    <t>Смешанная масса; базовая норма 2 г/т</t>
  </si>
  <si>
    <t>Шаблон: силос/сенаж</t>
  </si>
  <si>
    <t>Шаблон: влажное зерно, требует уточнения консультантом</t>
  </si>
  <si>
    <t>Злаковые травы; пакет 200 г</t>
  </si>
  <si>
    <t>Злаково-клеверная смесь; пакет 200 г</t>
  </si>
  <si>
    <t>Люцерна; пакет 200 г</t>
  </si>
  <si>
    <t>Бобовые культуры; пакет 200 г</t>
  </si>
  <si>
    <t>Норма продукта, г/т</t>
  </si>
  <si>
    <t>Пакет 50 г; при норме 2 г/т рассчитан на 25 т</t>
  </si>
  <si>
    <t>Пакет 200 г; при норме 2 г/т рассчитан на 100 т</t>
  </si>
  <si>
    <t>Дата и время</t>
  </si>
  <si>
    <t>Пользователь</t>
  </si>
  <si>
    <t>Клиент</t>
  </si>
  <si>
    <t>Масса, т</t>
  </si>
  <si>
    <t>Влажность, %</t>
  </si>
  <si>
    <t>Дозировка</t>
  </si>
  <si>
    <t>Итого препарата</t>
  </si>
  <si>
    <t>Итого воды, л</t>
  </si>
  <si>
    <t>Настройка дозатора, л/ч</t>
  </si>
  <si>
    <t>Настройка дозатора, л/мин</t>
  </si>
  <si>
    <t>Итоговая цена, BYN</t>
  </si>
  <si>
    <t>Статус синхронизации</t>
  </si>
  <si>
    <t>2026-04-11T10:30:00.000Z</t>
  </si>
  <si>
    <t>через комбайн</t>
  </si>
  <si>
    <t>0.83</t>
  </si>
  <si>
    <t>Тестовая запись</t>
  </si>
  <si>
    <t>синхронизировано</t>
  </si>
  <si>
    <t>2026-04-11T14:00:00.000Z</t>
  </si>
  <si>
    <t>0.5</t>
  </si>
  <si>
    <t>2026-04-11T13:57:42.301Z</t>
  </si>
  <si>
    <t>0.26666666666666666</t>
  </si>
  <si>
    <t>4661.68</t>
  </si>
  <si>
    <t>2026-04-11T14:57:37.139Z</t>
  </si>
  <si>
    <t>0.06666666666666667</t>
  </si>
  <si>
    <t>23308.4</t>
  </si>
  <si>
    <t>2026-04-11T15:54:19.011Z</t>
  </si>
  <si>
    <t>Бобовые / Однолетние</t>
  </si>
  <si>
    <t>2026-04-11T16:09:14.077Z</t>
  </si>
  <si>
    <t>ручное</t>
  </si>
  <si>
    <t>0.16666666666666666</t>
  </si>
  <si>
    <t>13985.04</t>
  </si>
  <si>
    <t>Цена за кг, BYN</t>
  </si>
  <si>
    <t>Цена за л, BYN</t>
  </si>
  <si>
    <t>Цена за пакет, BYN</t>
  </si>
  <si>
    <t>Валюта</t>
  </si>
  <si>
    <t>Действует с</t>
  </si>
  <si>
    <t>Действует до</t>
  </si>
  <si>
    <t>BYN</t>
  </si>
  <si>
    <t>SilKorm Pro: цена хранится за кг, цена за л считается автоматически через плотность</t>
  </si>
  <si>
    <t>EGALIS 50 г: цена пакета = цена за кг × 0,05 кг</t>
  </si>
  <si>
    <t>EGALIS 200 г: цена пакета = цена за кг × 0,2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</si>
</sst>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/>
    <xf numFmtId="0" fontId="4" fillId="0" borderId="0" xfId="0" applyFont="1" applyAlignment="1"/>
    <xf numFmtId="0" fontId="3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8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Продукты-style" pivot="0" count="3">
      <tableStyleElement type="headerRow" dxfId="17"/>
      <tableStyleElement type="firstRowStripe" dxfId="16"/>
      <tableStyleElement type="secondRowStripe" dxfId="15"/>
    </tableStyle>
    <tableStyle name="Культуры_и_сырье-style" pivot="0" count="3">
      <tableStyleElement type="headerRow" dxfId="14"/>
      <tableStyleElement type="firstRowStripe" dxfId="13"/>
      <tableStyleElement type="secondRowStripe" dxfId="12"/>
    </tableStyle>
    <tableStyle name="Правила_дозирования-style" pivot="0" count="3">
      <tableStyleElement type="headerRow" dxfId="11"/>
      <tableStyleElement type="firstRowStripe" dxfId="10"/>
      <tableStyleElement type="secondRowStripe" dxfId="9"/>
    </tableStyle>
    <tableStyle name="Пакеты_EGALIS-style" pivot="0" count="3">
      <tableStyleElement type="headerRow" dxfId="8"/>
      <tableStyleElement type="firstRowStripe" dxfId="7"/>
      <tableStyleElement type="secondRowStripe" dxfId="6"/>
    </tableStyle>
    <tableStyle name="История_шаблон-style" pivot="0" count="3">
      <tableStyleElement type="headerRow" dxfId="5"/>
      <tableStyleElement type="firstRowStripe" dxfId="4"/>
      <tableStyleElement type="secondRowStripe" dxfId="3"/>
    </tableStyle>
    <tableStyle name="Цены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O3" headerRowCount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  <tableStyleInfo name="Продукты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2" displayName="Table_2" ref="A1:H15">
  <tableColumns count="8">
    <tableColumn id="1" name="ID культуры"/>
    <tableColumn id="2" name="Код культуры"/>
    <tableColumn id="3" name="Наименование культуры / сырья"/>
    <tableColumn id="4" name="Группа"/>
    <tableColumn id="5" name="Нужна влажность"/>
    <tableColumn id="6" name="Влажность от, %"/>
    <tableColumn id="7" name="Влажность до, %"/>
    <tableColumn id="8" name="Комментарий"/>
  </tableColumns>
  <tableStyleInfo name="Культуры_и_сырье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T21">
  <tableColumns count="20">
    <tableColumn id="1" name="ID правила"/>
    <tableColumn id="2" name="Код продукта"/>
    <tableColumn id="3" name="Код культуры"/>
    <tableColumn id="4" name="Способ внесения"/>
    <tableColumn id="5" name="Влажность от, %"/>
    <tableColumn id="6" name="Влажность до, %"/>
    <tableColumn id="7" name="Дозировка от"/>
    <tableColumn id="8" name="Дозировка до"/>
    <tableColumn id="9" name="Единица дозировки"/>
    <tableColumn id="10" name="Код пакета"/>
    <tableColumn id="11" name="Масса пакета, г"/>
    <tableColumn id="12" name="Тонн на пакет"/>
    <tableColumn id="13" name="Вода на пакет от, л"/>
    <tableColumn id="14" name="Вода на пакет до, л"/>
    <tableColumn id="15" name="Рабочий раствор от, л/т"/>
    <tableColumn id="16" name="Рабочий раствор до, л/т"/>
    <tableColumn id="17" name="Режим по слоям"/>
    <tableColumn id="18" name="Приоритет авто-подбора"/>
    <tableColumn id="19" name="Рекомендация"/>
    <tableColumn id="20" name="Активно"/>
  </tableColumns>
  <tableStyleInfo name="Правила_дозирования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I3">
  <tableColumns count="9">
    <tableColumn id="1" name="Код пакета"/>
    <tableColumn id="2" name="Масса пакета, г"/>
    <tableColumn id="3" name="Норма продукта, г/т"/>
    <tableColumn id="4" name="Тонн на пакет"/>
    <tableColumn id="5" name="Вода на пакет от, л"/>
    <tableColumn id="6" name="Вода на пакет до, л"/>
    <tableColumn id="7" name="Рабочий раствор от, л/т"/>
    <tableColumn id="8" name="Рабочий раствор до, л/т"/>
    <tableColumn id="9" name="Комментарий"/>
  </tableColumns>
  <tableStyleInfo name="Пакеты_EGALI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Q2">
  <tableColumns count="17">
    <tableColumn id="1" name="Дата и время"/>
    <tableColumn id="2" name="Пользователь"/>
    <tableColumn id="3" name="Клиент"/>
    <tableColumn id="4" name="Код продукта"/>
    <tableColumn id="5" name="Код культуры"/>
    <tableColumn id="6" name="Масса, т"/>
    <tableColumn id="7" name="Влажность, %"/>
    <tableColumn id="8" name="Способ внесения"/>
    <tableColumn id="9" name="Дозировка"/>
    <tableColumn id="10" name="Единица дозировки"/>
    <tableColumn id="11" name="Итого препарата"/>
    <tableColumn id="12" name="Итого воды, л"/>
    <tableColumn id="13" name="Настройка дозатора, л/ч"/>
    <tableColumn id="14" name="Настройка дозатора, л/мин"/>
    <tableColumn id="15" name="Итоговая цена, BYN"/>
    <tableColumn id="16" name="Комментарий"/>
    <tableColumn id="17" name="Статус синхронизации"/>
  </tableColumns>
  <tableStyleInfo name="История_шаблон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J4">
  <tableColumns count="10">
    <tableColumn id="1" name="Код продукта"/>
    <tableColumn id="2" name="Код пакета"/>
    <tableColumn id="3" name="Цена за кг, BYN"/>
    <tableColumn id="4" name="Плотность, кг/л"/>
    <tableColumn id="5" name="Цена за л, BYN"/>
    <tableColumn id="6" name="Цена за пакет, BYN"/>
    <tableColumn id="7" name="Валюта"/>
    <tableColumn id="8" name="Действует с"/>
    <tableColumn id="9" name="Действует до"/>
    <tableColumn id="10" name="Комментарий"/>
  </tableColumns>
  <tableStyleInfo name="Цены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" customWidth="1"/>
    <col min="2" max="2" width="16" customWidth="1"/>
    <col min="3" max="3" width="23" customWidth="1"/>
    <col min="4" max="4" width="26" customWidth="1"/>
    <col min="5" max="5" width="12" customWidth="1"/>
    <col min="6" max="6" width="18" customWidth="1"/>
    <col min="7" max="7" width="16" customWidth="1"/>
    <col min="8" max="9" width="36" customWidth="1"/>
    <col min="10" max="11" width="17" customWidth="1"/>
    <col min="12" max="12" width="26" customWidth="1"/>
    <col min="13" max="13" width="21" customWidth="1"/>
    <col min="14" max="14" width="36" customWidth="1"/>
    <col min="15" max="15" width="12" customWidth="1"/>
    <col min="16" max="26" width="8.632812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3" t="s">
        <v>14</v>
      </c>
    </row>
    <row r="2" spans="1:16" ht="43.5" x14ac:dyDescent="0.35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-30</v>
      </c>
      <c r="K2" s="4">
        <v>35</v>
      </c>
      <c r="L2" s="4">
        <v>75</v>
      </c>
      <c r="M2" s="4">
        <v>24</v>
      </c>
      <c r="N2" s="4" t="s">
        <v>23</v>
      </c>
      <c r="O2" s="5"/>
      <c r="P2" s="6">
        <v>1.2</v>
      </c>
    </row>
    <row r="3" spans="1:16" ht="29" x14ac:dyDescent="0.35">
      <c r="A3" s="4">
        <v>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>
        <v>2</v>
      </c>
      <c r="K3" s="4">
        <v>25</v>
      </c>
      <c r="L3" s="4">
        <v>75</v>
      </c>
      <c r="M3" s="4">
        <v>12</v>
      </c>
      <c r="N3" s="4" t="s">
        <v>32</v>
      </c>
      <c r="O3" s="5"/>
      <c r="P3" s="6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" customWidth="1"/>
    <col min="2" max="2" width="20" customWidth="1"/>
    <col min="3" max="3" width="31" customWidth="1"/>
    <col min="4" max="4" width="22" customWidth="1"/>
    <col min="5" max="7" width="17" customWidth="1"/>
    <col min="8" max="8" width="29" customWidth="1"/>
    <col min="9" max="26" width="8.6328125" customWidth="1"/>
  </cols>
  <sheetData>
    <row r="1" spans="1:8" ht="14.5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4.5" x14ac:dyDescent="0.35">
      <c r="A2" s="4">
        <v>1</v>
      </c>
      <c r="B2" s="4" t="s">
        <v>41</v>
      </c>
      <c r="C2" s="4" t="s">
        <v>42</v>
      </c>
      <c r="D2" s="4" t="s">
        <v>43</v>
      </c>
      <c r="E2" s="4">
        <v>0</v>
      </c>
      <c r="F2" s="4"/>
      <c r="G2" s="4"/>
      <c r="H2" s="4"/>
    </row>
    <row r="3" spans="1:8" ht="14.5" x14ac:dyDescent="0.35">
      <c r="A3" s="4">
        <v>2</v>
      </c>
      <c r="B3" s="4" t="s">
        <v>44</v>
      </c>
      <c r="C3" s="4" t="s">
        <v>45</v>
      </c>
      <c r="D3" s="4" t="s">
        <v>43</v>
      </c>
      <c r="E3" s="4">
        <v>0</v>
      </c>
      <c r="F3" s="4"/>
      <c r="G3" s="4"/>
      <c r="H3" s="4"/>
    </row>
    <row r="4" spans="1:8" ht="14.5" x14ac:dyDescent="0.35">
      <c r="A4" s="4">
        <v>3</v>
      </c>
      <c r="B4" s="4" t="s">
        <v>46</v>
      </c>
      <c r="C4" s="4" t="s">
        <v>47</v>
      </c>
      <c r="D4" s="4" t="s">
        <v>48</v>
      </c>
      <c r="E4" s="4">
        <v>0</v>
      </c>
      <c r="F4" s="4"/>
      <c r="G4" s="4"/>
      <c r="H4" s="4"/>
    </row>
    <row r="5" spans="1:8" ht="14.5" x14ac:dyDescent="0.35">
      <c r="A5" s="4">
        <v>4</v>
      </c>
      <c r="B5" s="4" t="s">
        <v>49</v>
      </c>
      <c r="C5" s="4" t="s">
        <v>50</v>
      </c>
      <c r="D5" s="4" t="s">
        <v>51</v>
      </c>
      <c r="E5" s="4">
        <v>1</v>
      </c>
      <c r="F5" s="4">
        <v>35</v>
      </c>
      <c r="G5" s="4">
        <v>45</v>
      </c>
      <c r="H5" s="4" t="s">
        <v>52</v>
      </c>
    </row>
    <row r="6" spans="1:8" ht="14.5" x14ac:dyDescent="0.35">
      <c r="A6" s="4">
        <v>5</v>
      </c>
      <c r="B6" s="4" t="s">
        <v>53</v>
      </c>
      <c r="C6" s="4" t="s">
        <v>50</v>
      </c>
      <c r="D6" s="4" t="s">
        <v>51</v>
      </c>
      <c r="E6" s="4">
        <v>1</v>
      </c>
      <c r="F6" s="4">
        <v>30</v>
      </c>
      <c r="G6" s="4">
        <v>35</v>
      </c>
      <c r="H6" s="4" t="s">
        <v>54</v>
      </c>
    </row>
    <row r="7" spans="1:8" ht="14.5" x14ac:dyDescent="0.35">
      <c r="A7" s="4">
        <v>6</v>
      </c>
      <c r="B7" s="4" t="s">
        <v>55</v>
      </c>
      <c r="C7" s="4" t="s">
        <v>50</v>
      </c>
      <c r="D7" s="4" t="s">
        <v>51</v>
      </c>
      <c r="E7" s="4">
        <v>1</v>
      </c>
      <c r="F7" s="4">
        <v>25</v>
      </c>
      <c r="G7" s="4">
        <v>30</v>
      </c>
      <c r="H7" s="4" t="s">
        <v>56</v>
      </c>
    </row>
    <row r="8" spans="1:8" ht="14.5" x14ac:dyDescent="0.35">
      <c r="A8" s="4">
        <v>7</v>
      </c>
      <c r="B8" s="4" t="s">
        <v>57</v>
      </c>
      <c r="C8" s="4" t="s">
        <v>58</v>
      </c>
      <c r="D8" s="4" t="s">
        <v>43</v>
      </c>
      <c r="E8" s="4">
        <v>0</v>
      </c>
      <c r="F8" s="4"/>
      <c r="G8" s="4"/>
      <c r="H8" s="4" t="s">
        <v>59</v>
      </c>
    </row>
    <row r="9" spans="1:8" ht="14.5" x14ac:dyDescent="0.35">
      <c r="A9" s="4">
        <v>8</v>
      </c>
      <c r="B9" s="4" t="s">
        <v>60</v>
      </c>
      <c r="C9" s="4" t="s">
        <v>61</v>
      </c>
      <c r="D9" s="4" t="s">
        <v>62</v>
      </c>
      <c r="E9" s="4">
        <v>0</v>
      </c>
      <c r="F9" s="4"/>
      <c r="G9" s="4"/>
      <c r="H9" s="4" t="s">
        <v>59</v>
      </c>
    </row>
    <row r="10" spans="1:8" ht="14.5" x14ac:dyDescent="0.35">
      <c r="A10" s="4">
        <v>9</v>
      </c>
      <c r="B10" s="4" t="s">
        <v>63</v>
      </c>
      <c r="C10" s="4" t="s">
        <v>64</v>
      </c>
      <c r="D10" s="4" t="s">
        <v>62</v>
      </c>
      <c r="E10" s="4">
        <v>0</v>
      </c>
      <c r="F10" s="4"/>
      <c r="G10" s="4"/>
      <c r="H10" s="4" t="s">
        <v>59</v>
      </c>
    </row>
    <row r="11" spans="1:8" ht="14.5" x14ac:dyDescent="0.35">
      <c r="A11" s="4">
        <v>10</v>
      </c>
      <c r="B11" s="4" t="s">
        <v>65</v>
      </c>
      <c r="C11" s="4" t="s">
        <v>66</v>
      </c>
      <c r="D11" s="4" t="s">
        <v>67</v>
      </c>
      <c r="E11" s="4">
        <v>0</v>
      </c>
      <c r="F11" s="4"/>
      <c r="G11" s="4"/>
      <c r="H11" s="4" t="s">
        <v>59</v>
      </c>
    </row>
    <row r="12" spans="1:8" ht="14.5" x14ac:dyDescent="0.35">
      <c r="A12" s="4">
        <v>11</v>
      </c>
      <c r="B12" s="4" t="s">
        <v>68</v>
      </c>
      <c r="C12" s="4" t="s">
        <v>69</v>
      </c>
      <c r="D12" s="4" t="s">
        <v>67</v>
      </c>
      <c r="E12" s="4">
        <v>0</v>
      </c>
      <c r="F12" s="4"/>
      <c r="G12" s="4"/>
      <c r="H12" s="4" t="s">
        <v>59</v>
      </c>
    </row>
    <row r="13" spans="1:8" ht="14.5" x14ac:dyDescent="0.35">
      <c r="A13" s="4">
        <v>12</v>
      </c>
      <c r="B13" s="4" t="s">
        <v>70</v>
      </c>
      <c r="C13" s="4" t="s">
        <v>71</v>
      </c>
      <c r="D13" s="4" t="s">
        <v>72</v>
      </c>
      <c r="E13" s="4">
        <v>0</v>
      </c>
      <c r="F13" s="4"/>
      <c r="G13" s="4"/>
      <c r="H13" s="4" t="s">
        <v>59</v>
      </c>
    </row>
    <row r="14" spans="1:8" ht="14.5" x14ac:dyDescent="0.35">
      <c r="A14" s="4">
        <v>13</v>
      </c>
      <c r="B14" s="4" t="s">
        <v>73</v>
      </c>
      <c r="C14" s="4" t="s">
        <v>74</v>
      </c>
      <c r="D14" s="4" t="s">
        <v>72</v>
      </c>
      <c r="E14" s="4">
        <v>0</v>
      </c>
      <c r="F14" s="4"/>
      <c r="G14" s="4"/>
      <c r="H14" s="4" t="s">
        <v>75</v>
      </c>
    </row>
    <row r="15" spans="1:8" ht="14.5" x14ac:dyDescent="0.35">
      <c r="A15" s="4">
        <v>14</v>
      </c>
      <c r="B15" s="4" t="s">
        <v>76</v>
      </c>
      <c r="C15" s="4" t="s">
        <v>77</v>
      </c>
      <c r="D15" s="4" t="s">
        <v>51</v>
      </c>
      <c r="E15" s="4">
        <v>0</v>
      </c>
      <c r="F15" s="4"/>
      <c r="G15" s="4"/>
      <c r="H15" s="4" t="s">
        <v>75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abSelected="1" workbookViewId="0">
      <pane ySplit="1" topLeftCell="A2" activePane="bottomLeft" state="frozen"/>
      <selection pane="bottomLeft" sqref="A1:XFD1048576"/>
    </sheetView>
  </sheetViews>
  <sheetFormatPr defaultColWidth="14.453125" defaultRowHeight="15" customHeight="1" x14ac:dyDescent="0.35"/>
  <cols>
    <col min="1" max="1" width="12" customWidth="1"/>
    <col min="2" max="2" width="16" customWidth="1"/>
    <col min="3" max="3" width="20" customWidth="1"/>
    <col min="4" max="4" width="36" customWidth="1"/>
    <col min="5" max="6" width="17" customWidth="1"/>
    <col min="7" max="8" width="14" customWidth="1"/>
    <col min="9" max="9" width="19" customWidth="1"/>
    <col min="10" max="10" width="13" customWidth="1"/>
    <col min="11" max="11" width="17" customWidth="1"/>
    <col min="12" max="12" width="15" customWidth="1"/>
    <col min="13" max="14" width="21" customWidth="1"/>
    <col min="15" max="16" width="25" customWidth="1"/>
    <col min="17" max="17" width="16" customWidth="1"/>
    <col min="18" max="18" width="24" customWidth="1"/>
    <col min="19" max="19" width="36" customWidth="1"/>
    <col min="20" max="20" width="12" customWidth="1"/>
    <col min="21" max="26" width="8.6328125" customWidth="1"/>
  </cols>
  <sheetData>
    <row r="1" spans="1:20" ht="14.5" x14ac:dyDescent="0.35">
      <c r="A1" s="1" t="s">
        <v>78</v>
      </c>
      <c r="B1" s="1" t="s">
        <v>1</v>
      </c>
      <c r="C1" s="1" t="s">
        <v>34</v>
      </c>
      <c r="D1" s="1" t="s">
        <v>79</v>
      </c>
      <c r="E1" s="1" t="s">
        <v>38</v>
      </c>
      <c r="F1" s="1" t="s">
        <v>39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</row>
    <row r="2" spans="1:20" ht="14.5" x14ac:dyDescent="0.35">
      <c r="A2" s="4">
        <v>1</v>
      </c>
      <c r="B2" s="4" t="s">
        <v>15</v>
      </c>
      <c r="C2" s="4" t="s">
        <v>41</v>
      </c>
      <c r="D2" s="4" t="s">
        <v>94</v>
      </c>
      <c r="E2" s="4"/>
      <c r="F2" s="4"/>
      <c r="G2" s="4">
        <v>5</v>
      </c>
      <c r="H2" s="4">
        <v>5</v>
      </c>
      <c r="I2" s="4" t="s">
        <v>95</v>
      </c>
      <c r="J2" s="4"/>
      <c r="K2" s="4"/>
      <c r="L2" s="4"/>
      <c r="M2" s="4"/>
      <c r="N2" s="4"/>
      <c r="O2" s="4"/>
      <c r="P2" s="4"/>
      <c r="Q2" s="4" t="s">
        <v>96</v>
      </c>
      <c r="R2" s="4">
        <v>10</v>
      </c>
      <c r="S2" s="4" t="s">
        <v>97</v>
      </c>
      <c r="T2" s="4">
        <v>1</v>
      </c>
    </row>
    <row r="3" spans="1:20" ht="29" x14ac:dyDescent="0.35">
      <c r="A3" s="4">
        <v>2</v>
      </c>
      <c r="B3" s="4" t="s">
        <v>15</v>
      </c>
      <c r="C3" s="4" t="s">
        <v>44</v>
      </c>
      <c r="D3" s="4" t="s">
        <v>94</v>
      </c>
      <c r="E3" s="4"/>
      <c r="F3" s="4"/>
      <c r="G3" s="4">
        <v>6</v>
      </c>
      <c r="H3" s="4">
        <v>6</v>
      </c>
      <c r="I3" s="4" t="s">
        <v>95</v>
      </c>
      <c r="J3" s="4"/>
      <c r="K3" s="4"/>
      <c r="L3" s="4"/>
      <c r="M3" s="4"/>
      <c r="N3" s="4"/>
      <c r="O3" s="4"/>
      <c r="P3" s="4"/>
      <c r="Q3" s="4" t="s">
        <v>96</v>
      </c>
      <c r="R3" s="4">
        <v>10</v>
      </c>
      <c r="S3" s="4" t="s">
        <v>98</v>
      </c>
      <c r="T3" s="4">
        <v>1</v>
      </c>
    </row>
    <row r="4" spans="1:20" ht="14.5" x14ac:dyDescent="0.35">
      <c r="A4" s="4">
        <v>3</v>
      </c>
      <c r="B4" s="4" t="s">
        <v>15</v>
      </c>
      <c r="C4" s="4" t="s">
        <v>46</v>
      </c>
      <c r="D4" s="4" t="s">
        <v>94</v>
      </c>
      <c r="E4" s="4"/>
      <c r="F4" s="4"/>
      <c r="G4" s="4">
        <v>3</v>
      </c>
      <c r="H4" s="4">
        <v>3</v>
      </c>
      <c r="I4" s="4" t="s">
        <v>95</v>
      </c>
      <c r="J4" s="4"/>
      <c r="K4" s="4"/>
      <c r="L4" s="4"/>
      <c r="M4" s="4"/>
      <c r="N4" s="4"/>
      <c r="O4" s="4"/>
      <c r="P4" s="4"/>
      <c r="Q4" s="4" t="s">
        <v>96</v>
      </c>
      <c r="R4" s="4">
        <v>20</v>
      </c>
      <c r="S4" s="4" t="s">
        <v>99</v>
      </c>
      <c r="T4" s="4">
        <v>1</v>
      </c>
    </row>
    <row r="5" spans="1:20" ht="14.5" x14ac:dyDescent="0.35">
      <c r="A5" s="4">
        <v>4</v>
      </c>
      <c r="B5" s="4" t="s">
        <v>15</v>
      </c>
      <c r="C5" s="4" t="s">
        <v>49</v>
      </c>
      <c r="D5" s="4" t="s">
        <v>100</v>
      </c>
      <c r="E5" s="4">
        <v>35</v>
      </c>
      <c r="F5" s="4">
        <v>45</v>
      </c>
      <c r="G5" s="4">
        <v>3</v>
      </c>
      <c r="H5" s="4">
        <v>4</v>
      </c>
      <c r="I5" s="4" t="s">
        <v>95</v>
      </c>
      <c r="J5" s="4"/>
      <c r="K5" s="4"/>
      <c r="L5" s="4"/>
      <c r="M5" s="4"/>
      <c r="N5" s="4"/>
      <c r="O5" s="4"/>
      <c r="P5" s="4"/>
      <c r="Q5" s="4"/>
      <c r="R5" s="4">
        <v>15</v>
      </c>
      <c r="S5" s="4" t="s">
        <v>101</v>
      </c>
      <c r="T5" s="4">
        <v>1</v>
      </c>
    </row>
    <row r="6" spans="1:20" ht="14.5" x14ac:dyDescent="0.35">
      <c r="A6" s="4">
        <v>5</v>
      </c>
      <c r="B6" s="4" t="s">
        <v>15</v>
      </c>
      <c r="C6" s="4" t="s">
        <v>53</v>
      </c>
      <c r="D6" s="4" t="s">
        <v>100</v>
      </c>
      <c r="E6" s="4">
        <v>30</v>
      </c>
      <c r="F6" s="4">
        <v>35</v>
      </c>
      <c r="G6" s="4">
        <v>4</v>
      </c>
      <c r="H6" s="4">
        <v>5</v>
      </c>
      <c r="I6" s="4" t="s">
        <v>95</v>
      </c>
      <c r="J6" s="4"/>
      <c r="K6" s="4"/>
      <c r="L6" s="4"/>
      <c r="M6" s="4"/>
      <c r="N6" s="4"/>
      <c r="O6" s="4"/>
      <c r="P6" s="4"/>
      <c r="Q6" s="4"/>
      <c r="R6" s="4">
        <v>15</v>
      </c>
      <c r="S6" s="4" t="s">
        <v>102</v>
      </c>
      <c r="T6" s="4">
        <v>1</v>
      </c>
    </row>
    <row r="7" spans="1:20" ht="14.5" x14ac:dyDescent="0.35">
      <c r="A7" s="4">
        <v>6</v>
      </c>
      <c r="B7" s="4" t="s">
        <v>15</v>
      </c>
      <c r="C7" s="4" t="s">
        <v>55</v>
      </c>
      <c r="D7" s="4" t="s">
        <v>100</v>
      </c>
      <c r="E7" s="4">
        <v>25</v>
      </c>
      <c r="F7" s="4">
        <v>30</v>
      </c>
      <c r="G7" s="4">
        <v>5</v>
      </c>
      <c r="H7" s="4">
        <v>6</v>
      </c>
      <c r="I7" s="4" t="s">
        <v>95</v>
      </c>
      <c r="J7" s="4"/>
      <c r="K7" s="4"/>
      <c r="L7" s="4"/>
      <c r="M7" s="4"/>
      <c r="N7" s="4"/>
      <c r="O7" s="4"/>
      <c r="P7" s="4"/>
      <c r="Q7" s="4"/>
      <c r="R7" s="4">
        <v>15</v>
      </c>
      <c r="S7" s="4" t="s">
        <v>103</v>
      </c>
      <c r="T7" s="4">
        <v>1</v>
      </c>
    </row>
    <row r="8" spans="1:20" ht="14.5" x14ac:dyDescent="0.35">
      <c r="A8" s="4">
        <v>7</v>
      </c>
      <c r="B8" s="4" t="s">
        <v>24</v>
      </c>
      <c r="C8" s="4" t="s">
        <v>41</v>
      </c>
      <c r="D8" s="6" t="s">
        <v>100</v>
      </c>
      <c r="E8" s="4"/>
      <c r="F8" s="4"/>
      <c r="G8" s="9">
        <v>1</v>
      </c>
      <c r="H8" s="9">
        <v>1</v>
      </c>
      <c r="I8" s="4" t="s">
        <v>105</v>
      </c>
      <c r="J8" s="4" t="s">
        <v>106</v>
      </c>
      <c r="K8" s="4">
        <v>50</v>
      </c>
      <c r="L8" s="9">
        <v>50</v>
      </c>
      <c r="M8" s="9">
        <v>25</v>
      </c>
      <c r="N8" s="9">
        <v>100</v>
      </c>
      <c r="O8" s="9">
        <v>0.5</v>
      </c>
      <c r="P8" s="9">
        <v>2</v>
      </c>
      <c r="Q8" s="4"/>
      <c r="R8" s="4">
        <v>30</v>
      </c>
      <c r="S8" s="4" t="s">
        <v>107</v>
      </c>
      <c r="T8" s="4">
        <v>1</v>
      </c>
    </row>
    <row r="9" spans="1:20" ht="29" x14ac:dyDescent="0.35">
      <c r="A9" s="4">
        <v>8</v>
      </c>
      <c r="B9" s="4" t="s">
        <v>24</v>
      </c>
      <c r="C9" s="4" t="s">
        <v>57</v>
      </c>
      <c r="D9" s="6" t="s">
        <v>100</v>
      </c>
      <c r="E9" s="4"/>
      <c r="F9" s="4"/>
      <c r="G9" s="9">
        <v>2</v>
      </c>
      <c r="H9" s="9">
        <v>2</v>
      </c>
      <c r="I9" s="4" t="s">
        <v>105</v>
      </c>
      <c r="J9" s="4" t="s">
        <v>106</v>
      </c>
      <c r="K9" s="4">
        <v>50</v>
      </c>
      <c r="L9" s="9">
        <v>25</v>
      </c>
      <c r="M9" s="9">
        <v>25</v>
      </c>
      <c r="N9" s="9">
        <v>100</v>
      </c>
      <c r="O9" s="9">
        <v>0.5</v>
      </c>
      <c r="P9" s="9">
        <v>2</v>
      </c>
      <c r="Q9" s="4"/>
      <c r="R9" s="4">
        <v>30</v>
      </c>
      <c r="S9" s="4" t="s">
        <v>108</v>
      </c>
      <c r="T9" s="4">
        <v>1</v>
      </c>
    </row>
    <row r="10" spans="1:20" ht="14.5" x14ac:dyDescent="0.35">
      <c r="A10" s="4">
        <v>9</v>
      </c>
      <c r="B10" s="4" t="s">
        <v>24</v>
      </c>
      <c r="C10" s="4" t="s">
        <v>60</v>
      </c>
      <c r="D10" s="6" t="s">
        <v>100</v>
      </c>
      <c r="E10" s="4"/>
      <c r="F10" s="4"/>
      <c r="G10" s="9">
        <v>2</v>
      </c>
      <c r="H10" s="9">
        <v>2</v>
      </c>
      <c r="I10" s="4" t="s">
        <v>105</v>
      </c>
      <c r="J10" s="4" t="s">
        <v>106</v>
      </c>
      <c r="K10" s="4">
        <v>50</v>
      </c>
      <c r="L10" s="9">
        <v>25</v>
      </c>
      <c r="M10" s="9">
        <v>25</v>
      </c>
      <c r="N10" s="9">
        <v>100</v>
      </c>
      <c r="O10" s="9">
        <v>0.5</v>
      </c>
      <c r="P10" s="9">
        <v>2</v>
      </c>
      <c r="Q10" s="4"/>
      <c r="R10" s="4">
        <v>30</v>
      </c>
      <c r="S10" s="4" t="s">
        <v>109</v>
      </c>
      <c r="T10" s="4">
        <v>1</v>
      </c>
    </row>
    <row r="11" spans="1:20" ht="14.5" x14ac:dyDescent="0.35">
      <c r="A11" s="4">
        <v>10</v>
      </c>
      <c r="B11" s="4" t="s">
        <v>24</v>
      </c>
      <c r="C11" s="4" t="s">
        <v>63</v>
      </c>
      <c r="D11" s="6" t="s">
        <v>100</v>
      </c>
      <c r="E11" s="4"/>
      <c r="F11" s="4"/>
      <c r="G11" s="9">
        <v>2</v>
      </c>
      <c r="H11" s="9">
        <v>2</v>
      </c>
      <c r="I11" s="4" t="s">
        <v>105</v>
      </c>
      <c r="J11" s="4" t="s">
        <v>106</v>
      </c>
      <c r="K11" s="4">
        <v>50</v>
      </c>
      <c r="L11" s="9">
        <v>25</v>
      </c>
      <c r="M11" s="9">
        <v>25</v>
      </c>
      <c r="N11" s="9">
        <v>100</v>
      </c>
      <c r="O11" s="9">
        <v>0.5</v>
      </c>
      <c r="P11" s="9">
        <v>2</v>
      </c>
      <c r="Q11" s="4"/>
      <c r="R11" s="4">
        <v>30</v>
      </c>
      <c r="S11" s="4" t="s">
        <v>110</v>
      </c>
      <c r="T11" s="4">
        <v>1</v>
      </c>
    </row>
    <row r="12" spans="1:20" ht="14.5" x14ac:dyDescent="0.35">
      <c r="A12" s="4">
        <v>11</v>
      </c>
      <c r="B12" s="4" t="s">
        <v>24</v>
      </c>
      <c r="C12" s="4" t="s">
        <v>46</v>
      </c>
      <c r="D12" s="6" t="s">
        <v>100</v>
      </c>
      <c r="E12" s="4"/>
      <c r="F12" s="4"/>
      <c r="G12" s="9">
        <v>0.5</v>
      </c>
      <c r="H12" s="9">
        <v>0.5</v>
      </c>
      <c r="I12" s="4" t="s">
        <v>105</v>
      </c>
      <c r="J12" s="4" t="s">
        <v>111</v>
      </c>
      <c r="K12" s="4">
        <v>200</v>
      </c>
      <c r="L12" s="9">
        <v>400</v>
      </c>
      <c r="M12" s="9">
        <v>100</v>
      </c>
      <c r="N12" s="9">
        <v>400</v>
      </c>
      <c r="O12" s="9">
        <v>0.5</v>
      </c>
      <c r="P12" s="9">
        <v>2</v>
      </c>
      <c r="Q12" s="4"/>
      <c r="R12" s="4">
        <v>25</v>
      </c>
      <c r="S12" s="4" t="s">
        <v>112</v>
      </c>
      <c r="T12" s="4">
        <v>1</v>
      </c>
    </row>
    <row r="13" spans="1:20" ht="14.5" x14ac:dyDescent="0.35">
      <c r="A13" s="4">
        <v>12</v>
      </c>
      <c r="B13" s="4" t="s">
        <v>24</v>
      </c>
      <c r="C13" s="4" t="s">
        <v>65</v>
      </c>
      <c r="D13" s="6" t="s">
        <v>100</v>
      </c>
      <c r="E13" s="4"/>
      <c r="F13" s="4"/>
      <c r="G13" s="9">
        <v>0.5</v>
      </c>
      <c r="H13" s="9">
        <v>0.5</v>
      </c>
      <c r="I13" s="4" t="s">
        <v>105</v>
      </c>
      <c r="J13" s="4" t="s">
        <v>111</v>
      </c>
      <c r="K13" s="4">
        <v>200</v>
      </c>
      <c r="L13" s="9">
        <v>400</v>
      </c>
      <c r="M13" s="9">
        <v>100</v>
      </c>
      <c r="N13" s="9">
        <v>400</v>
      </c>
      <c r="O13" s="9">
        <v>0.5</v>
      </c>
      <c r="P13" s="9">
        <v>2</v>
      </c>
      <c r="Q13" s="4"/>
      <c r="R13" s="4">
        <v>25</v>
      </c>
      <c r="S13" s="4" t="s">
        <v>113</v>
      </c>
      <c r="T13" s="4">
        <v>1</v>
      </c>
    </row>
    <row r="14" spans="1:20" ht="14.5" x14ac:dyDescent="0.35">
      <c r="A14" s="4">
        <v>13</v>
      </c>
      <c r="B14" s="4" t="s">
        <v>24</v>
      </c>
      <c r="C14" s="4" t="s">
        <v>68</v>
      </c>
      <c r="D14" s="6" t="s">
        <v>100</v>
      </c>
      <c r="E14" s="4"/>
      <c r="F14" s="4"/>
      <c r="G14" s="9">
        <v>1</v>
      </c>
      <c r="H14" s="9">
        <v>1</v>
      </c>
      <c r="I14" s="4" t="s">
        <v>105</v>
      </c>
      <c r="J14" s="4" t="s">
        <v>106</v>
      </c>
      <c r="K14" s="4">
        <v>50</v>
      </c>
      <c r="L14" s="9">
        <v>50</v>
      </c>
      <c r="M14" s="9">
        <v>25</v>
      </c>
      <c r="N14" s="9">
        <v>100</v>
      </c>
      <c r="O14" s="9">
        <v>0.5</v>
      </c>
      <c r="P14" s="9">
        <v>2</v>
      </c>
      <c r="Q14" s="4"/>
      <c r="R14" s="4">
        <v>25</v>
      </c>
      <c r="S14" s="4" t="s">
        <v>114</v>
      </c>
      <c r="T14" s="4">
        <v>1</v>
      </c>
    </row>
    <row r="15" spans="1:20" ht="14.5" x14ac:dyDescent="0.35">
      <c r="A15" s="4">
        <v>14</v>
      </c>
      <c r="B15" s="4" t="s">
        <v>24</v>
      </c>
      <c r="C15" s="4" t="s">
        <v>70</v>
      </c>
      <c r="D15" s="6" t="s">
        <v>100</v>
      </c>
      <c r="E15" s="4"/>
      <c r="F15" s="4"/>
      <c r="G15" s="9">
        <v>1</v>
      </c>
      <c r="H15" s="9">
        <v>1</v>
      </c>
      <c r="I15" s="4" t="s">
        <v>105</v>
      </c>
      <c r="J15" s="4" t="s">
        <v>106</v>
      </c>
      <c r="K15" s="4">
        <v>50</v>
      </c>
      <c r="L15" s="9">
        <v>50</v>
      </c>
      <c r="M15" s="9">
        <v>25</v>
      </c>
      <c r="N15" s="9">
        <v>100</v>
      </c>
      <c r="O15" s="9">
        <v>0.5</v>
      </c>
      <c r="P15" s="9">
        <v>2</v>
      </c>
      <c r="Q15" s="4"/>
      <c r="R15" s="4">
        <v>20</v>
      </c>
      <c r="S15" s="4" t="s">
        <v>115</v>
      </c>
      <c r="T15" s="4">
        <v>1</v>
      </c>
    </row>
    <row r="16" spans="1:20" ht="14.5" x14ac:dyDescent="0.35">
      <c r="A16" s="4">
        <v>15</v>
      </c>
      <c r="B16" s="4" t="s">
        <v>24</v>
      </c>
      <c r="C16" s="4" t="s">
        <v>73</v>
      </c>
      <c r="D16" s="6" t="s">
        <v>100</v>
      </c>
      <c r="E16" s="4"/>
      <c r="F16" s="4"/>
      <c r="G16" s="9">
        <v>1</v>
      </c>
      <c r="H16" s="9">
        <v>1</v>
      </c>
      <c r="I16" s="4" t="s">
        <v>105</v>
      </c>
      <c r="J16" s="4" t="s">
        <v>106</v>
      </c>
      <c r="K16" s="4">
        <v>50</v>
      </c>
      <c r="L16" s="9">
        <v>50</v>
      </c>
      <c r="M16" s="9">
        <v>25</v>
      </c>
      <c r="N16" s="9">
        <v>100</v>
      </c>
      <c r="O16" s="9">
        <v>0.5</v>
      </c>
      <c r="P16" s="9">
        <v>2</v>
      </c>
      <c r="Q16" s="4"/>
      <c r="R16" s="4">
        <v>15</v>
      </c>
      <c r="S16" s="4" t="s">
        <v>116</v>
      </c>
      <c r="T16" s="4">
        <v>1</v>
      </c>
    </row>
    <row r="17" spans="1:20" ht="29" x14ac:dyDescent="0.35">
      <c r="A17" s="4">
        <v>16</v>
      </c>
      <c r="B17" s="4" t="s">
        <v>24</v>
      </c>
      <c r="C17" s="4" t="s">
        <v>76</v>
      </c>
      <c r="D17" s="6" t="s">
        <v>100</v>
      </c>
      <c r="E17" s="4"/>
      <c r="F17" s="4"/>
      <c r="G17" s="9">
        <v>1</v>
      </c>
      <c r="H17" s="9">
        <v>1</v>
      </c>
      <c r="I17" s="4" t="s">
        <v>105</v>
      </c>
      <c r="J17" s="4" t="s">
        <v>106</v>
      </c>
      <c r="K17" s="4">
        <v>50</v>
      </c>
      <c r="L17" s="9">
        <v>50</v>
      </c>
      <c r="M17" s="9">
        <v>25</v>
      </c>
      <c r="N17" s="9">
        <v>100</v>
      </c>
      <c r="O17" s="9">
        <v>0.5</v>
      </c>
      <c r="P17" s="9">
        <v>2</v>
      </c>
      <c r="Q17" s="4"/>
      <c r="R17" s="4">
        <v>15</v>
      </c>
      <c r="S17" s="4" t="s">
        <v>117</v>
      </c>
      <c r="T17" s="4">
        <v>1</v>
      </c>
    </row>
    <row r="18" spans="1:20" ht="14.5" x14ac:dyDescent="0.35">
      <c r="A18" s="4">
        <v>17</v>
      </c>
      <c r="B18" s="4" t="s">
        <v>24</v>
      </c>
      <c r="C18" s="4" t="s">
        <v>41</v>
      </c>
      <c r="D18" s="6" t="s">
        <v>100</v>
      </c>
      <c r="E18" s="4"/>
      <c r="F18" s="4"/>
      <c r="G18" s="9">
        <v>1</v>
      </c>
      <c r="H18" s="9">
        <v>1</v>
      </c>
      <c r="I18" s="4" t="s">
        <v>105</v>
      </c>
      <c r="J18" s="4" t="s">
        <v>111</v>
      </c>
      <c r="K18" s="4">
        <v>200</v>
      </c>
      <c r="L18" s="9">
        <v>200</v>
      </c>
      <c r="M18" s="9">
        <v>100</v>
      </c>
      <c r="N18" s="9">
        <v>400</v>
      </c>
      <c r="O18" s="9">
        <v>0.5</v>
      </c>
      <c r="P18" s="9">
        <v>2</v>
      </c>
      <c r="Q18" s="4"/>
      <c r="R18" s="4">
        <v>29</v>
      </c>
      <c r="S18" s="4" t="s">
        <v>118</v>
      </c>
      <c r="T18" s="4">
        <v>1</v>
      </c>
    </row>
    <row r="19" spans="1:20" ht="14.5" x14ac:dyDescent="0.35">
      <c r="A19" s="4">
        <v>18</v>
      </c>
      <c r="B19" s="4" t="s">
        <v>24</v>
      </c>
      <c r="C19" s="4" t="s">
        <v>57</v>
      </c>
      <c r="D19" s="6" t="s">
        <v>100</v>
      </c>
      <c r="E19" s="4"/>
      <c r="F19" s="4"/>
      <c r="G19" s="9">
        <v>2</v>
      </c>
      <c r="H19" s="9">
        <v>2</v>
      </c>
      <c r="I19" s="4" t="s">
        <v>105</v>
      </c>
      <c r="J19" s="4" t="s">
        <v>111</v>
      </c>
      <c r="K19" s="4">
        <v>200</v>
      </c>
      <c r="L19" s="9">
        <v>100</v>
      </c>
      <c r="M19" s="9">
        <v>100</v>
      </c>
      <c r="N19" s="9">
        <v>400</v>
      </c>
      <c r="O19" s="9">
        <v>0.5</v>
      </c>
      <c r="P19" s="9">
        <v>2</v>
      </c>
      <c r="Q19" s="4"/>
      <c r="R19" s="4">
        <v>29</v>
      </c>
      <c r="S19" s="4" t="s">
        <v>119</v>
      </c>
      <c r="T19" s="4">
        <v>1</v>
      </c>
    </row>
    <row r="20" spans="1:20" ht="14.5" x14ac:dyDescent="0.35">
      <c r="A20" s="4">
        <v>19</v>
      </c>
      <c r="B20" s="4" t="s">
        <v>24</v>
      </c>
      <c r="C20" s="4" t="s">
        <v>60</v>
      </c>
      <c r="D20" s="6" t="s">
        <v>100</v>
      </c>
      <c r="E20" s="4"/>
      <c r="F20" s="4"/>
      <c r="G20" s="9">
        <v>2</v>
      </c>
      <c r="H20" s="9">
        <v>2</v>
      </c>
      <c r="I20" s="4" t="s">
        <v>105</v>
      </c>
      <c r="J20" s="4" t="s">
        <v>111</v>
      </c>
      <c r="K20" s="4">
        <v>200</v>
      </c>
      <c r="L20" s="9">
        <v>100</v>
      </c>
      <c r="M20" s="9">
        <v>100</v>
      </c>
      <c r="N20" s="9">
        <v>400</v>
      </c>
      <c r="O20" s="9">
        <v>0.5</v>
      </c>
      <c r="P20" s="9">
        <v>2</v>
      </c>
      <c r="Q20" s="4"/>
      <c r="R20" s="4">
        <v>29</v>
      </c>
      <c r="S20" s="4" t="s">
        <v>120</v>
      </c>
      <c r="T20" s="4">
        <v>1</v>
      </c>
    </row>
    <row r="21" spans="1:20" ht="15.75" customHeight="1" x14ac:dyDescent="0.35">
      <c r="A21" s="4">
        <v>20</v>
      </c>
      <c r="B21" s="4" t="s">
        <v>24</v>
      </c>
      <c r="C21" s="4" t="s">
        <v>63</v>
      </c>
      <c r="D21" s="6" t="s">
        <v>100</v>
      </c>
      <c r="E21" s="4"/>
      <c r="F21" s="4"/>
      <c r="G21" s="9">
        <v>2</v>
      </c>
      <c r="H21" s="9">
        <v>2</v>
      </c>
      <c r="I21" s="4" t="s">
        <v>105</v>
      </c>
      <c r="J21" s="4" t="s">
        <v>111</v>
      </c>
      <c r="K21" s="4">
        <v>200</v>
      </c>
      <c r="L21" s="9">
        <v>100</v>
      </c>
      <c r="M21" s="9">
        <v>100</v>
      </c>
      <c r="N21" s="9">
        <v>400</v>
      </c>
      <c r="O21" s="9">
        <v>0.5</v>
      </c>
      <c r="P21" s="9">
        <v>2</v>
      </c>
      <c r="Q21" s="4"/>
      <c r="R21" s="4">
        <v>29</v>
      </c>
      <c r="S21" s="4" t="s">
        <v>121</v>
      </c>
      <c r="T21" s="4">
        <v>1</v>
      </c>
    </row>
    <row r="22" spans="1:20" ht="15.75" customHeight="1" x14ac:dyDescent="0.35"/>
    <row r="23" spans="1:20" ht="15.75" customHeight="1" x14ac:dyDescent="0.35"/>
    <row r="24" spans="1:20" ht="15.75" customHeight="1" x14ac:dyDescent="0.35"/>
    <row r="25" spans="1:20" ht="15.75" customHeight="1" x14ac:dyDescent="0.35"/>
    <row r="26" spans="1:20" ht="15.75" customHeight="1" x14ac:dyDescent="0.35"/>
    <row r="27" spans="1:20" ht="15.75" customHeight="1" x14ac:dyDescent="0.35"/>
    <row r="28" spans="1:20" ht="15.75" customHeight="1" x14ac:dyDescent="0.35"/>
    <row r="29" spans="1:20" ht="15.75" customHeight="1" x14ac:dyDescent="0.35"/>
    <row r="30" spans="1:20" ht="15.75" customHeight="1" x14ac:dyDescent="0.35"/>
    <row r="31" spans="1:20" ht="15.75" customHeight="1" x14ac:dyDescent="0.35"/>
    <row r="32" spans="1:2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" customWidth="1"/>
    <col min="2" max="2" width="17" customWidth="1"/>
    <col min="3" max="3" width="21" customWidth="1"/>
    <col min="4" max="4" width="15" customWidth="1"/>
    <col min="5" max="6" width="21" customWidth="1"/>
    <col min="7" max="8" width="25" customWidth="1"/>
    <col min="9" max="9" width="36" customWidth="1"/>
    <col min="10" max="26" width="8.6328125" customWidth="1"/>
  </cols>
  <sheetData>
    <row r="1" spans="1:9" ht="14.5" x14ac:dyDescent="0.35">
      <c r="A1" s="1" t="s">
        <v>83</v>
      </c>
      <c r="B1" s="1" t="s">
        <v>84</v>
      </c>
      <c r="C1" s="1" t="s">
        <v>122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40</v>
      </c>
    </row>
    <row r="2" spans="1:9" ht="29" x14ac:dyDescent="0.35">
      <c r="A2" s="4" t="s">
        <v>106</v>
      </c>
      <c r="B2" s="4">
        <v>50</v>
      </c>
      <c r="C2" s="4">
        <v>2</v>
      </c>
      <c r="D2" s="4">
        <v>25</v>
      </c>
      <c r="E2" s="4">
        <v>50</v>
      </c>
      <c r="F2" s="4">
        <v>200</v>
      </c>
      <c r="G2" s="4">
        <v>2</v>
      </c>
      <c r="H2" s="4">
        <v>8</v>
      </c>
      <c r="I2" s="4" t="s">
        <v>123</v>
      </c>
    </row>
    <row r="3" spans="1:9" ht="29" x14ac:dyDescent="0.35">
      <c r="A3" s="4" t="s">
        <v>111</v>
      </c>
      <c r="B3" s="4">
        <v>200</v>
      </c>
      <c r="C3" s="4">
        <v>2</v>
      </c>
      <c r="D3" s="4">
        <v>100</v>
      </c>
      <c r="E3" s="4">
        <v>50</v>
      </c>
      <c r="F3" s="4">
        <v>200</v>
      </c>
      <c r="G3" s="4">
        <v>0.5</v>
      </c>
      <c r="H3" s="4">
        <v>2</v>
      </c>
      <c r="I3" s="4" t="s">
        <v>124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2" width="14" customWidth="1"/>
    <col min="3" max="3" width="12" customWidth="1"/>
    <col min="4" max="5" width="14" customWidth="1"/>
    <col min="6" max="6" width="12" customWidth="1"/>
    <col min="7" max="7" width="14" customWidth="1"/>
    <col min="8" max="8" width="17" customWidth="1"/>
    <col min="9" max="9" width="12" customWidth="1"/>
    <col min="10" max="10" width="19" customWidth="1"/>
    <col min="11" max="11" width="17" customWidth="1"/>
    <col min="12" max="12" width="15" customWidth="1"/>
    <col min="13" max="13" width="25" customWidth="1"/>
    <col min="14" max="14" width="27" customWidth="1"/>
    <col min="15" max="15" width="20" customWidth="1"/>
    <col min="16" max="16" width="13" customWidth="1"/>
    <col min="17" max="17" width="22" customWidth="1"/>
    <col min="18" max="26" width="8.6328125" customWidth="1"/>
  </cols>
  <sheetData>
    <row r="1" spans="1:17" ht="29" x14ac:dyDescent="0.35">
      <c r="A1" s="1" t="s">
        <v>125</v>
      </c>
      <c r="B1" s="1" t="s">
        <v>126</v>
      </c>
      <c r="C1" s="1" t="s">
        <v>127</v>
      </c>
      <c r="D1" s="1" t="s">
        <v>1</v>
      </c>
      <c r="E1" s="1" t="s">
        <v>34</v>
      </c>
      <c r="F1" s="1" t="s">
        <v>128</v>
      </c>
      <c r="G1" s="1" t="s">
        <v>129</v>
      </c>
      <c r="H1" s="1" t="s">
        <v>79</v>
      </c>
      <c r="I1" s="1" t="s">
        <v>130</v>
      </c>
      <c r="J1" s="1" t="s">
        <v>82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40</v>
      </c>
      <c r="Q1" s="1" t="s">
        <v>136</v>
      </c>
    </row>
    <row r="2" spans="1:17" ht="14.5" x14ac:dyDescent="0.35">
      <c r="A2" s="7" t="s">
        <v>137</v>
      </c>
      <c r="B2" s="5"/>
      <c r="C2" s="5"/>
      <c r="D2" s="7" t="s">
        <v>15</v>
      </c>
      <c r="E2" s="7" t="s">
        <v>41</v>
      </c>
      <c r="F2" s="7">
        <v>500</v>
      </c>
      <c r="G2" s="7">
        <v>40</v>
      </c>
      <c r="H2" s="7" t="s">
        <v>138</v>
      </c>
      <c r="I2" s="7">
        <v>5</v>
      </c>
      <c r="J2" s="7" t="s">
        <v>95</v>
      </c>
      <c r="K2" s="7">
        <v>2500</v>
      </c>
      <c r="L2" s="5"/>
      <c r="M2" s="7">
        <v>50</v>
      </c>
      <c r="N2" s="7" t="s">
        <v>139</v>
      </c>
      <c r="O2" s="7">
        <v>16650</v>
      </c>
      <c r="P2" s="7" t="s">
        <v>140</v>
      </c>
      <c r="Q2" s="7" t="s">
        <v>141</v>
      </c>
    </row>
    <row r="3" spans="1:17" ht="14.5" x14ac:dyDescent="0.35">
      <c r="A3" s="8" t="s">
        <v>142</v>
      </c>
      <c r="D3" s="8" t="s">
        <v>15</v>
      </c>
      <c r="E3" s="8" t="s">
        <v>42</v>
      </c>
      <c r="F3" s="8">
        <v>100</v>
      </c>
      <c r="G3" s="8">
        <v>45</v>
      </c>
      <c r="H3" s="8" t="s">
        <v>138</v>
      </c>
      <c r="I3" s="8">
        <v>3</v>
      </c>
      <c r="J3" s="8" t="s">
        <v>95</v>
      </c>
      <c r="K3" s="8">
        <v>300</v>
      </c>
      <c r="M3" s="8">
        <v>30</v>
      </c>
      <c r="N3" s="8" t="s">
        <v>143</v>
      </c>
      <c r="O3" s="8">
        <v>1998</v>
      </c>
      <c r="Q3" s="8" t="s">
        <v>141</v>
      </c>
    </row>
    <row r="4" spans="1:17" ht="14.5" x14ac:dyDescent="0.35">
      <c r="A4" s="8" t="s">
        <v>144</v>
      </c>
      <c r="D4" s="8" t="s">
        <v>24</v>
      </c>
      <c r="E4" s="8" t="s">
        <v>47</v>
      </c>
      <c r="F4" s="8">
        <v>1000</v>
      </c>
      <c r="G4" s="8">
        <v>40</v>
      </c>
      <c r="H4" s="8" t="s">
        <v>138</v>
      </c>
      <c r="I4" s="8">
        <v>2</v>
      </c>
      <c r="J4" s="8" t="s">
        <v>105</v>
      </c>
      <c r="K4" s="8">
        <v>2000</v>
      </c>
      <c r="L4" s="8">
        <v>8000</v>
      </c>
      <c r="M4" s="8">
        <v>16</v>
      </c>
      <c r="N4" s="8" t="s">
        <v>145</v>
      </c>
      <c r="O4" s="8" t="s">
        <v>146</v>
      </c>
      <c r="P4" s="8" t="s">
        <v>99</v>
      </c>
      <c r="Q4" s="8" t="s">
        <v>141</v>
      </c>
    </row>
    <row r="5" spans="1:17" ht="14.5" x14ac:dyDescent="0.35">
      <c r="A5" s="8" t="s">
        <v>147</v>
      </c>
      <c r="D5" s="8" t="s">
        <v>24</v>
      </c>
      <c r="E5" s="8" t="s">
        <v>47</v>
      </c>
      <c r="F5" s="8">
        <v>5000</v>
      </c>
      <c r="G5" s="8">
        <v>75</v>
      </c>
      <c r="H5" s="8" t="s">
        <v>104</v>
      </c>
      <c r="I5" s="8">
        <v>2</v>
      </c>
      <c r="J5" s="8" t="s">
        <v>105</v>
      </c>
      <c r="K5" s="8">
        <v>10000</v>
      </c>
      <c r="L5" s="8">
        <v>10000</v>
      </c>
      <c r="M5" s="8">
        <v>4</v>
      </c>
      <c r="N5" s="8" t="s">
        <v>148</v>
      </c>
      <c r="O5" s="8" t="s">
        <v>149</v>
      </c>
      <c r="P5" s="8" t="s">
        <v>99</v>
      </c>
      <c r="Q5" s="8" t="s">
        <v>141</v>
      </c>
    </row>
    <row r="6" spans="1:17" ht="14.5" x14ac:dyDescent="0.35">
      <c r="A6" s="8" t="s">
        <v>150</v>
      </c>
      <c r="D6" s="8" t="s">
        <v>15</v>
      </c>
      <c r="E6" s="8" t="s">
        <v>151</v>
      </c>
      <c r="F6" s="8">
        <v>2000</v>
      </c>
      <c r="G6" s="8">
        <v>40</v>
      </c>
      <c r="H6" s="8" t="s">
        <v>138</v>
      </c>
      <c r="I6" s="8">
        <v>6</v>
      </c>
      <c r="J6" s="8" t="s">
        <v>95</v>
      </c>
      <c r="K6" s="8">
        <v>12000</v>
      </c>
      <c r="M6" s="8">
        <v>30</v>
      </c>
      <c r="N6" s="8" t="s">
        <v>143</v>
      </c>
      <c r="O6" s="8">
        <v>79920</v>
      </c>
      <c r="P6" s="8" t="s">
        <v>98</v>
      </c>
      <c r="Q6" s="8" t="s">
        <v>141</v>
      </c>
    </row>
    <row r="7" spans="1:17" ht="14.5" x14ac:dyDescent="0.35">
      <c r="A7" s="8" t="s">
        <v>152</v>
      </c>
      <c r="D7" s="8" t="s">
        <v>24</v>
      </c>
      <c r="E7" s="8" t="s">
        <v>58</v>
      </c>
      <c r="F7" s="8">
        <v>3000</v>
      </c>
      <c r="G7" s="8">
        <v>45</v>
      </c>
      <c r="H7" s="8" t="s">
        <v>153</v>
      </c>
      <c r="I7" s="8">
        <v>2</v>
      </c>
      <c r="J7" s="8" t="s">
        <v>105</v>
      </c>
      <c r="K7" s="8">
        <v>6000</v>
      </c>
      <c r="L7" s="8">
        <v>6000</v>
      </c>
      <c r="M7" s="8">
        <v>10</v>
      </c>
      <c r="N7" s="8" t="s">
        <v>154</v>
      </c>
      <c r="O7" s="8" t="s">
        <v>155</v>
      </c>
      <c r="P7" s="8" t="s">
        <v>108</v>
      </c>
      <c r="Q7" s="8" t="s">
        <v>141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9.6328125" customWidth="1"/>
    <col min="2" max="2" width="13" customWidth="1"/>
    <col min="3" max="4" width="17" customWidth="1"/>
    <col min="5" max="5" width="16" customWidth="1"/>
    <col min="6" max="6" width="20" customWidth="1"/>
    <col min="7" max="7" width="12" customWidth="1"/>
    <col min="8" max="8" width="13" customWidth="1"/>
    <col min="9" max="9" width="14" customWidth="1"/>
    <col min="10" max="10" width="42" customWidth="1"/>
    <col min="11" max="26" width="8.6328125" customWidth="1"/>
  </cols>
  <sheetData>
    <row r="1" spans="1:10" ht="14.5" x14ac:dyDescent="0.35">
      <c r="A1" s="1" t="s">
        <v>1</v>
      </c>
      <c r="B1" s="1" t="s">
        <v>83</v>
      </c>
      <c r="C1" s="1" t="s">
        <v>156</v>
      </c>
      <c r="D1" s="1" t="s">
        <v>14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40</v>
      </c>
    </row>
    <row r="2" spans="1:10" ht="29" x14ac:dyDescent="0.35">
      <c r="A2" s="4" t="s">
        <v>15</v>
      </c>
      <c r="B2" s="4"/>
      <c r="C2" s="4">
        <v>5.55</v>
      </c>
      <c r="D2" s="4">
        <v>1.2</v>
      </c>
      <c r="E2" s="4">
        <f>C2*D2</f>
        <v>6.6599999999999993</v>
      </c>
      <c r="F2" s="4"/>
      <c r="G2" s="4" t="s">
        <v>162</v>
      </c>
      <c r="H2" s="4"/>
      <c r="I2" s="4"/>
      <c r="J2" s="4" t="s">
        <v>163</v>
      </c>
    </row>
    <row r="3" spans="1:10" ht="14.5" x14ac:dyDescent="0.35">
      <c r="A3" s="4" t="s">
        <v>24</v>
      </c>
      <c r="B3" s="4" t="s">
        <v>106</v>
      </c>
      <c r="C3" s="4">
        <v>2330.84</v>
      </c>
      <c r="D3" s="4"/>
      <c r="E3" s="4"/>
      <c r="F3" s="4">
        <f>C3*0.05</f>
        <v>116.54200000000002</v>
      </c>
      <c r="G3" s="4" t="s">
        <v>162</v>
      </c>
      <c r="H3" s="4"/>
      <c r="I3" s="4"/>
      <c r="J3" s="4" t="s">
        <v>164</v>
      </c>
    </row>
    <row r="4" spans="1:10" ht="14.5" x14ac:dyDescent="0.35">
      <c r="A4" s="4" t="s">
        <v>24</v>
      </c>
      <c r="B4" s="4" t="s">
        <v>111</v>
      </c>
      <c r="C4" s="4">
        <v>2330.84</v>
      </c>
      <c r="D4" s="4"/>
      <c r="E4" s="4"/>
      <c r="F4" s="4">
        <f>C4*0.2</f>
        <v>466.16800000000006</v>
      </c>
      <c r="G4" s="4" t="s">
        <v>162</v>
      </c>
      <c r="H4" s="4"/>
      <c r="I4" s="4"/>
      <c r="J4" s="4" t="s">
        <v>165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Продукты</vt:lpstr>
      <vt:lpstr>Культуры_и_сырье</vt:lpstr>
      <vt:lpstr>Правила_дозирования</vt:lpstr>
      <vt:lpstr>Пакеты_EGALIS</vt:lpstr>
      <vt:lpstr>История_шаблон</vt:lpstr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Кузнецов</dc:creator>
  <cp:lastModifiedBy>Андрей Кузнецов</cp:lastModifiedBy>
  <dcterms:created xsi:type="dcterms:W3CDTF">2026-04-26T09:22:28Z</dcterms:created>
  <dcterms:modified xsi:type="dcterms:W3CDTF">2026-04-26T09:22:31Z</dcterms:modified>
</cp:coreProperties>
</file>